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ice List" sheetId="1" state="visible" r:id="rId3"/>
    <sheet name="Timeshe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<sst xmlns="http://schemas.openxmlformats.org/spreadsheetml/2006/main" count="45" uniqueCount="29">
  <si>
    <t xml:space="preserve">Code</t>
  </si>
  <si>
    <t xml:space="preserve">Description</t>
  </si>
  <si>
    <t xml:space="preserve">Cost ex GST</t>
  </si>
  <si>
    <t xml:space="preserve">Markup</t>
  </si>
  <si>
    <t xml:space="preserve">Sell ex GST</t>
  </si>
  <si>
    <t xml:space="preserve">Sell inc GST</t>
  </si>
  <si>
    <t xml:space="preserve">CALL-STD</t>
  </si>
  <si>
    <t xml:space="preserve">Standard call-out fee</t>
  </si>
  <si>
    <t xml:space="preserve">CALL-AH</t>
  </si>
  <si>
    <t xml:space="preserve">After-hours call-out fee</t>
  </si>
  <si>
    <t xml:space="preserve">LAB-STD</t>
  </si>
  <si>
    <t xml:space="preserve">Labour per hour</t>
  </si>
  <si>
    <t xml:space="preserve">PL-TV15</t>
  </si>
  <si>
    <t xml:space="preserve">Tempering valve 15mm</t>
  </si>
  <si>
    <t xml:space="preserve">PL-TW01</t>
  </si>
  <si>
    <t xml:space="preserve">Tap washer kit</t>
  </si>
  <si>
    <t xml:space="preserve">PL-DC01</t>
  </si>
  <si>
    <t xml:space="preserve">Drain camera inspection</t>
  </si>
  <si>
    <t xml:space="preserve">Tech</t>
  </si>
  <si>
    <t xml:space="preserve">Date</t>
  </si>
  <si>
    <t xml:space="preserve">Start</t>
  </si>
  <si>
    <t xml:space="preserve">Finish</t>
  </si>
  <si>
    <t xml:space="preserve">Break (h)</t>
  </si>
  <si>
    <t xml:space="preserve">Hours</t>
  </si>
  <si>
    <t xml:space="preserve">Total hours</t>
  </si>
  <si>
    <t xml:space="preserve">Overtime over 38</t>
  </si>
  <si>
    <t xml:space="preserve">Tom Bridges</t>
  </si>
  <si>
    <t xml:space="preserve">Aisha Karimi</t>
  </si>
  <si>
    <t xml:space="preserve">Jordan Lee (apprentice)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</si>
</sst>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hh:mm"/>
    <numFmt numFmtId="167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95</v>
      </c>
      <c r="D2" s="0" t="n">
        <v>0</v>
      </c>
      <c r="E2" s="0" t="n">
        <f aca="false">ROUND(C2*(1+D2),2)</f>
        <v>95</v>
      </c>
      <c r="F2" s="0" t="n">
        <f aca="false">ROUND(E2*1.1,2)</f>
        <v>104.5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n">
        <v>165</v>
      </c>
      <c r="D3" s="0" t="n">
        <v>0</v>
      </c>
      <c r="E3" s="0" t="n">
        <f aca="false">ROUND(C3*(1+D3),2)</f>
        <v>165</v>
      </c>
      <c r="F3" s="0" t="n">
        <f aca="false">ROUND(E3*1.1,2)</f>
        <v>181.5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n">
        <v>110</v>
      </c>
      <c r="D4" s="0" t="n">
        <v>0</v>
      </c>
      <c r="E4" s="0" t="n">
        <f aca="false">ROUND(C4*(1+D4),2)</f>
        <v>110</v>
      </c>
      <c r="F4" s="0" t="n">
        <f aca="false">ROUND(E4*1.1,2)</f>
        <v>121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92</v>
      </c>
      <c r="D5" s="0" t="n">
        <v>0.25</v>
      </c>
      <c r="E5" s="0" t="n">
        <f aca="false">ROUND(C5*(1+D5),2)</f>
        <v>115</v>
      </c>
      <c r="F5" s="0" t="n">
        <f aca="false">ROUND(E5*1.1,2)</f>
        <v>126.5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12</v>
      </c>
      <c r="D6" s="0" t="n">
        <v>0.5</v>
      </c>
      <c r="E6" s="0" t="n">
        <f aca="false">ROUND(C6*(1+D6),2)</f>
        <v>18</v>
      </c>
      <c r="F6" s="0" t="n">
        <f aca="false">ROUND(E6*1.1,2)</f>
        <v>19.8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n">
        <v>150</v>
      </c>
      <c r="D7" s="0" t="n">
        <v>0</v>
      </c>
      <c r="E7" s="0" t="n">
        <f aca="false">ROUND(C7*(1+D7),2)</f>
        <v>150</v>
      </c>
      <c r="F7" s="0" t="n">
        <f aca="false">ROUND(E7*1.1,2)</f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/>
      <c r="H1" s="1" t="s">
        <v>18</v>
      </c>
      <c r="I1" s="1" t="s">
        <v>24</v>
      </c>
      <c r="J1" s="1" t="s">
        <v>25</v>
      </c>
    </row>
    <row r="2" customFormat="false" ht="15" hidden="false" customHeight="false" outlineLevel="0" collapsed="false">
      <c r="A2" s="0" t="s">
        <v>26</v>
      </c>
      <c r="B2" s="2" t="n">
        <v>46286</v>
      </c>
      <c r="C2" s="3" t="n">
        <v>0.291666666666667</v>
      </c>
      <c r="D2" s="3" t="n">
        <v>0.6875</v>
      </c>
      <c r="E2" s="0" t="n">
        <v>0.5</v>
      </c>
      <c r="F2" s="4" t="n">
        <f aca="false">ROUND((D2-C2)*24-E2,2)</f>
        <v>9</v>
      </c>
      <c r="H2" s="4" t="s">
        <v>26</v>
      </c>
      <c r="I2" s="4" t="n">
        <f aca="false">SUMIF($A$2:$A$16,H2,$F$2:$F$16)</f>
        <v>45</v>
      </c>
      <c r="J2" s="4" t="n">
        <f aca="false">MAX(0,I2-38)</f>
        <v>7</v>
      </c>
    </row>
    <row r="3" customFormat="false" ht="15" hidden="false" customHeight="false" outlineLevel="0" collapsed="false">
      <c r="A3" s="0" t="s">
        <v>26</v>
      </c>
      <c r="B3" s="2" t="n">
        <v>46287</v>
      </c>
      <c r="C3" s="3" t="n">
        <v>0.291666666666667</v>
      </c>
      <c r="D3" s="3" t="n">
        <v>0.6875</v>
      </c>
      <c r="E3" s="0" t="n">
        <v>0.5</v>
      </c>
      <c r="F3" s="4" t="n">
        <f aca="false">ROUND((D3-C3)*24-E3,2)</f>
        <v>9</v>
      </c>
      <c r="H3" s="4" t="s">
        <v>27</v>
      </c>
      <c r="I3" s="4" t="n">
        <f aca="false">SUMIF($A$2:$A$16,H3,$F$2:$F$16)</f>
        <v>42.5</v>
      </c>
      <c r="J3" s="4" t="n">
        <f aca="false">MAX(0,I3-38)</f>
        <v>4.5</v>
      </c>
    </row>
    <row r="4" customFormat="false" ht="15" hidden="false" customHeight="false" outlineLevel="0" collapsed="false">
      <c r="A4" s="0" t="s">
        <v>26</v>
      </c>
      <c r="B4" s="2" t="n">
        <v>46288</v>
      </c>
      <c r="C4" s="3" t="n">
        <v>0.291666666666667</v>
      </c>
      <c r="D4" s="3" t="n">
        <v>0.6875</v>
      </c>
      <c r="E4" s="0" t="n">
        <v>0.5</v>
      </c>
      <c r="F4" s="4" t="n">
        <f aca="false">ROUND((D4-C4)*24-E4,2)</f>
        <v>9</v>
      </c>
      <c r="H4" s="4" t="s">
        <v>28</v>
      </c>
      <c r="I4" s="4" t="n">
        <f aca="false">SUMIF($A$2:$A$16,H4,$F$2:$F$16)</f>
        <v>39</v>
      </c>
      <c r="J4" s="4" t="n">
        <f aca="false">MAX(0,I4-38)</f>
        <v>1</v>
      </c>
    </row>
    <row r="5" customFormat="false" ht="15" hidden="false" customHeight="false" outlineLevel="0" collapsed="false">
      <c r="A5" s="0" t="s">
        <v>26</v>
      </c>
      <c r="B5" s="2" t="n">
        <v>46289</v>
      </c>
      <c r="C5" s="3" t="n">
        <v>0.291666666666667</v>
      </c>
      <c r="D5" s="3" t="n">
        <v>0.6875</v>
      </c>
      <c r="E5" s="0" t="n">
        <v>0.5</v>
      </c>
      <c r="F5" s="4" t="n">
        <f aca="false">ROUND((D5-C5)*24-E5,2)</f>
        <v>9</v>
      </c>
    </row>
    <row r="6" customFormat="false" ht="15" hidden="false" customHeight="false" outlineLevel="0" collapsed="false">
      <c r="A6" s="0" t="s">
        <v>26</v>
      </c>
      <c r="B6" s="2" t="n">
        <v>46290</v>
      </c>
      <c r="C6" s="3" t="n">
        <v>0.291666666666667</v>
      </c>
      <c r="D6" s="3" t="n">
        <v>0.6875</v>
      </c>
      <c r="E6" s="0" t="n">
        <v>0.5</v>
      </c>
      <c r="F6" s="4" t="n">
        <f aca="false">ROUND((D6-C6)*24-E6,2)</f>
        <v>9</v>
      </c>
    </row>
    <row r="7" customFormat="false" ht="15" hidden="false" customHeight="false" outlineLevel="0" collapsed="false">
      <c r="A7" s="0" t="s">
        <v>27</v>
      </c>
      <c r="B7" s="2" t="n">
        <v>46286</v>
      </c>
      <c r="C7" s="3" t="n">
        <v>0.291666666666667</v>
      </c>
      <c r="D7" s="3" t="n">
        <v>0.645833333333333</v>
      </c>
      <c r="E7" s="0" t="n">
        <v>0.5</v>
      </c>
      <c r="F7" s="4" t="n">
        <f aca="false">ROUND((D7-C7)*24-E7,2)</f>
        <v>8</v>
      </c>
    </row>
    <row r="8" customFormat="false" ht="15" hidden="false" customHeight="false" outlineLevel="0" collapsed="false">
      <c r="A8" s="0" t="s">
        <v>27</v>
      </c>
      <c r="B8" s="2" t="n">
        <v>46287</v>
      </c>
      <c r="C8" s="3" t="n">
        <v>0.291666666666667</v>
      </c>
      <c r="D8" s="3" t="n">
        <v>0.708333333333333</v>
      </c>
      <c r="E8" s="0" t="n">
        <v>0.5</v>
      </c>
      <c r="F8" s="4" t="n">
        <f aca="false">ROUND((D8-C8)*24-E8,2)</f>
        <v>9.5</v>
      </c>
    </row>
    <row r="9" customFormat="false" ht="15" hidden="false" customHeight="false" outlineLevel="0" collapsed="false">
      <c r="A9" s="0" t="s">
        <v>27</v>
      </c>
      <c r="B9" s="2" t="n">
        <v>46288</v>
      </c>
      <c r="C9" s="3" t="n">
        <v>0.291666666666667</v>
      </c>
      <c r="D9" s="3" t="n">
        <v>0.645833333333333</v>
      </c>
      <c r="E9" s="0" t="n">
        <v>0.5</v>
      </c>
      <c r="F9" s="4" t="n">
        <f aca="false">ROUND((D9-C9)*24-E9,2)</f>
        <v>8</v>
      </c>
    </row>
    <row r="10" customFormat="false" ht="15" hidden="false" customHeight="false" outlineLevel="0" collapsed="false">
      <c r="A10" s="0" t="s">
        <v>27</v>
      </c>
      <c r="B10" s="2" t="n">
        <v>46289</v>
      </c>
      <c r="C10" s="3" t="n">
        <v>0.270833333333333</v>
      </c>
      <c r="D10" s="3" t="n">
        <v>0.666666666666667</v>
      </c>
      <c r="E10" s="0" t="n">
        <v>0.5</v>
      </c>
      <c r="F10" s="4" t="n">
        <f aca="false">ROUND((D10-C10)*24-E10,2)</f>
        <v>9</v>
      </c>
    </row>
    <row r="11" customFormat="false" ht="15" hidden="false" customHeight="false" outlineLevel="0" collapsed="false">
      <c r="A11" s="0" t="s">
        <v>27</v>
      </c>
      <c r="B11" s="2" t="n">
        <v>46290</v>
      </c>
      <c r="C11" s="3" t="n">
        <v>0.291666666666667</v>
      </c>
      <c r="D11" s="3" t="n">
        <v>0.645833333333333</v>
      </c>
      <c r="E11" s="0" t="n">
        <v>0.5</v>
      </c>
      <c r="F11" s="4" t="n">
        <f aca="false">ROUND((D11-C11)*24-E11,2)</f>
        <v>8</v>
      </c>
    </row>
    <row r="12" customFormat="false" ht="15" hidden="false" customHeight="false" outlineLevel="0" collapsed="false">
      <c r="A12" s="0" t="s">
        <v>28</v>
      </c>
      <c r="B12" s="2" t="n">
        <v>46286</v>
      </c>
      <c r="C12" s="3" t="n">
        <v>0.291666666666667</v>
      </c>
      <c r="D12" s="3" t="n">
        <v>0.645833333333333</v>
      </c>
      <c r="E12" s="0" t="n">
        <v>0.5</v>
      </c>
      <c r="F12" s="4" t="n">
        <f aca="false">ROUND((D12-C12)*24-E12,2)</f>
        <v>8</v>
      </c>
    </row>
    <row r="13" customFormat="false" ht="15" hidden="false" customHeight="false" outlineLevel="0" collapsed="false">
      <c r="A13" s="0" t="s">
        <v>28</v>
      </c>
      <c r="B13" s="2" t="n">
        <v>46287</v>
      </c>
      <c r="C13" s="3" t="n">
        <v>0.291666666666667</v>
      </c>
      <c r="D13" s="3" t="n">
        <v>0.645833333333333</v>
      </c>
      <c r="E13" s="0" t="n">
        <v>0.5</v>
      </c>
      <c r="F13" s="4" t="n">
        <f aca="false">ROUND((D13-C13)*24-E13,2)</f>
        <v>8</v>
      </c>
    </row>
    <row r="14" customFormat="false" ht="15" hidden="false" customHeight="false" outlineLevel="0" collapsed="false">
      <c r="A14" s="0" t="s">
        <v>28</v>
      </c>
      <c r="B14" s="2" t="n">
        <v>46288</v>
      </c>
      <c r="C14" s="3" t="n">
        <v>0.333333333333333</v>
      </c>
      <c r="D14" s="3" t="n">
        <v>0.645833333333333</v>
      </c>
      <c r="E14" s="0" t="n">
        <v>0.5</v>
      </c>
      <c r="F14" s="4" t="n">
        <f aca="false">ROUND((D14-C14)*24-E14,2)</f>
        <v>7</v>
      </c>
    </row>
    <row r="15" customFormat="false" ht="15" hidden="false" customHeight="false" outlineLevel="0" collapsed="false">
      <c r="A15" s="0" t="s">
        <v>28</v>
      </c>
      <c r="B15" s="2" t="n">
        <v>46289</v>
      </c>
      <c r="C15" s="3" t="n">
        <v>0.291666666666667</v>
      </c>
      <c r="D15" s="3" t="n">
        <v>0.645833333333333</v>
      </c>
      <c r="E15" s="0" t="n">
        <v>0.5</v>
      </c>
      <c r="F15" s="4" t="n">
        <f aca="false">ROUND((D15-C15)*24-E15,2)</f>
        <v>8</v>
      </c>
    </row>
    <row r="16" customFormat="false" ht="15" hidden="false" customHeight="false" outlineLevel="0" collapsed="false">
      <c r="A16" s="0" t="s">
        <v>28</v>
      </c>
      <c r="B16" s="2" t="n">
        <v>46290</v>
      </c>
      <c r="C16" s="3" t="n">
        <v>0.291666666666667</v>
      </c>
      <c r="D16" s="3" t="n">
        <v>0.645833333333333</v>
      </c>
      <c r="E16" s="0" t="n">
        <v>0.5</v>
      </c>
      <c r="F16" s="4" t="n">
        <f aca="false">ROUND((D16-C16)*24-E16,2)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2026-10-22T03:16:51Z</dcterms:created>
  <dc:creator>openpyxl</dc:creator>
  <dc:description/>
  <dc:language>en-US</dc:language>
  <cp:lastModifiedBy/>
  <dcterms:modified xsi:type="dcterms:W3CDTF">2026-10-22T03:16:51Z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